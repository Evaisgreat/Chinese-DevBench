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<sst xmlns="http://schemas.openxmlformats.org/spreadsheetml/2006/main" count="109" uniqueCount="99">
  <si>
    <t>item</t>
  </si>
  <si>
    <t>2.5-3.5</t>
  </si>
  <si>
    <t>3.5-4.5</t>
  </si>
  <si>
    <t>4.5-5.5</t>
  </si>
  <si>
    <t>5.5-6.5</t>
  </si>
  <si>
    <t>6.5-7.5</t>
  </si>
  <si>
    <t>人参果</t>
  </si>
  <si>
    <t>冻梨</t>
  </si>
  <si>
    <t>凤梨</t>
  </si>
  <si>
    <t>千禧果</t>
  </si>
  <si>
    <t>哈密瓜</t>
  </si>
  <si>
    <t>左边是词频，右边是除以该年龄段人数。区间范围：[2.5,3.5)</t>
  </si>
  <si>
    <t>圣女果</t>
  </si>
  <si>
    <t>奇异果</t>
  </si>
  <si>
    <t>小番茄</t>
  </si>
  <si>
    <t>小西红柿</t>
  </si>
  <si>
    <t>山楂</t>
  </si>
  <si>
    <t>山竹</t>
  </si>
  <si>
    <t>提子</t>
  </si>
  <si>
    <t>无花果</t>
  </si>
  <si>
    <t>木瓜</t>
  </si>
  <si>
    <t>李子</t>
  </si>
  <si>
    <t>杏</t>
  </si>
  <si>
    <t>杏子</t>
  </si>
  <si>
    <t>杨桃</t>
  </si>
  <si>
    <t>杨梅</t>
  </si>
  <si>
    <t>枇杷</t>
  </si>
  <si>
    <t>果冻橙</t>
  </si>
  <si>
    <t>枣</t>
  </si>
  <si>
    <t>枣子</t>
  </si>
  <si>
    <t>柚子</t>
  </si>
  <si>
    <t>柠檬</t>
  </si>
  <si>
    <t>柿子</t>
  </si>
  <si>
    <t>桂圆</t>
  </si>
  <si>
    <t>桃</t>
  </si>
  <si>
    <t>桃子</t>
  </si>
  <si>
    <t>桑葚</t>
  </si>
  <si>
    <t>桔子</t>
  </si>
  <si>
    <t>梨</t>
  </si>
  <si>
    <t>椰子</t>
  </si>
  <si>
    <t>榴莲</t>
  </si>
  <si>
    <t>樱桃</t>
  </si>
  <si>
    <t>橘子</t>
  </si>
  <si>
    <t>橙子</t>
  </si>
  <si>
    <t xml:space="preserve">橙子 </t>
  </si>
  <si>
    <t>水果玉米</t>
  </si>
  <si>
    <t>水果胡萝卜</t>
  </si>
  <si>
    <t>水果黄瓜</t>
  </si>
  <si>
    <t>水蜜桃</t>
  </si>
  <si>
    <t>火龙果</t>
  </si>
  <si>
    <t xml:space="preserve">火龙果 </t>
  </si>
  <si>
    <t>牛油果</t>
  </si>
  <si>
    <t>猕猴桃</t>
  </si>
  <si>
    <t>甘蔗</t>
  </si>
  <si>
    <t>甜瓜</t>
  </si>
  <si>
    <t>番石榴</t>
  </si>
  <si>
    <t>番茄</t>
  </si>
  <si>
    <t>百香果</t>
  </si>
  <si>
    <t>石榴</t>
  </si>
  <si>
    <t>粑粑柑</t>
  </si>
  <si>
    <t>红提</t>
  </si>
  <si>
    <t>红枣</t>
  </si>
  <si>
    <t>红桃</t>
  </si>
  <si>
    <t>红花果</t>
  </si>
  <si>
    <t>羊角脆</t>
  </si>
  <si>
    <t>羊角蜜</t>
  </si>
  <si>
    <t>耙耙柑</t>
  </si>
  <si>
    <t>芒果</t>
  </si>
  <si>
    <t>芦柑</t>
  </si>
  <si>
    <t>芭芭柑</t>
  </si>
  <si>
    <t>苹果</t>
  </si>
  <si>
    <t xml:space="preserve">苹果 </t>
  </si>
  <si>
    <t>草莓</t>
  </si>
  <si>
    <t>荔枝</t>
  </si>
  <si>
    <t>莲蓬</t>
  </si>
  <si>
    <t>菠萝</t>
  </si>
  <si>
    <t>菠萝蜜</t>
  </si>
  <si>
    <t>葡萄</t>
  </si>
  <si>
    <t>蓝莓</t>
  </si>
  <si>
    <t>蔓越莓</t>
  </si>
  <si>
    <t>蔬菜</t>
  </si>
  <si>
    <t>西梅</t>
  </si>
  <si>
    <t>西瓜</t>
  </si>
  <si>
    <t xml:space="preserve">西瓜 </t>
  </si>
  <si>
    <t>西红柿</t>
  </si>
  <si>
    <t>话梅果</t>
  </si>
  <si>
    <t>车厘子</t>
  </si>
  <si>
    <t>阳光玫瑰</t>
  </si>
  <si>
    <t>青提</t>
  </si>
  <si>
    <t>青苹果</t>
  </si>
  <si>
    <t>香蕉</t>
  </si>
  <si>
    <t>马蹄</t>
  </si>
  <si>
    <t>鸡蛋</t>
  </si>
  <si>
    <t>鸭梨</t>
  </si>
  <si>
    <t>黄桃</t>
  </si>
  <si>
    <t>黑莓</t>
  </si>
  <si>
    <t>龙眼</t>
  </si>
  <si>
    <t>age_bin</t>
  </si>
  <si>
    <t>n_people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</si>
</sst>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3" fontId="1" fillId="0" borderId="0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91"/>
  <sheetViews>
    <sheetView tabSelected="1" topLeftCell="A42" workbookViewId="0">
      <selection activeCell="A1" sqref="A1"/>
    </sheetView>
  </sheetViews>
  <sheetFormatPr defaultColWidth="9" defaultRowHeight="16.8"/>
  <cols>
    <col min="1" max="1" width="13.578125" style="1" customWidth="1"/>
    <col min="2" max="6" width="13.578125" style="2" customWidth="1"/>
    <col min="7" max="7" width="13.578125" style="1" customWidth="1"/>
    <col min="8" max="10" width="12.859375" style="2" customWidth="1"/>
    <col min="11" max="11" width="12.859375" style="4" customWidth="1"/>
    <col min="12" max="12" width="12.859375" style="2" customWidth="1"/>
    <col min="13" max="14" width="13.578125" style="1" customWidth="1"/>
  </cols>
  <sheetData>
    <row r="1" ht="18.75" customHeight="1" spans="1:1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H1" s="6" t="s">
        <v>1</v>
      </c>
      <c r="I1" s="6" t="s">
        <v>2</v>
      </c>
      <c r="J1" s="6" t="s">
        <v>3</v>
      </c>
      <c r="K1" s="7" t="s">
        <v>4</v>
      </c>
      <c r="L1" s="6" t="s">
        <v>5</v>
      </c>
    </row>
    <row r="2" ht="20.25" customHeight="1" spans="1:14">
      <c r="A2" s="1" t="s">
        <v>6</v>
      </c>
      <c r="B2" s="3">
        <v>0</v>
      </c>
      <c r="C2" s="3">
        <v>0</v>
      </c>
      <c r="D2" s="3">
        <v>0</v>
      </c>
      <c r="E2" s="3">
        <v>1</v>
      </c>
      <c r="F2" s="3">
        <v>0</v>
      </c>
      <c r="H2" s="3">
        <f t="shared" ref="H2:H65" si="0">B2/6</f>
        <v>0</v>
      </c>
      <c r="I2" s="3">
        <f t="shared" ref="I2:I65" si="1">C2/53</f>
        <v>0</v>
      </c>
      <c r="J2" s="3">
        <f t="shared" ref="J2:J65" si="2">D2/73</f>
        <v>0</v>
      </c>
      <c r="K2" s="8">
        <f t="shared" ref="K2:K65" si="3">E2/211</f>
        <v>0.004739336492891</v>
      </c>
      <c r="L2" s="3">
        <f t="shared" ref="L2:L65" si="4">F2/74</f>
        <v>0</v>
      </c>
    </row>
    <row r="3" ht="20.25" customHeight="1" spans="1:14">
      <c r="A3" s="1" t="s">
        <v>7</v>
      </c>
      <c r="B3" s="3">
        <v>0</v>
      </c>
      <c r="C3" s="3">
        <v>0</v>
      </c>
      <c r="D3" s="3">
        <v>0</v>
      </c>
      <c r="E3" s="3">
        <v>1</v>
      </c>
      <c r="F3" s="3">
        <v>0</v>
      </c>
      <c r="H3" s="3">
        <f t="shared" si="0"/>
        <v>0</v>
      </c>
      <c r="I3" s="3">
        <f t="shared" si="1"/>
        <v>0</v>
      </c>
      <c r="J3" s="3">
        <f t="shared" si="2"/>
        <v>0</v>
      </c>
      <c r="K3" s="8">
        <f t="shared" si="3"/>
        <v>0.004739336492891</v>
      </c>
      <c r="L3" s="3">
        <f t="shared" si="4"/>
        <v>0</v>
      </c>
    </row>
    <row r="4" ht="20.25" customHeight="1" spans="1:14">
      <c r="A4" s="1" t="s">
        <v>8</v>
      </c>
      <c r="B4" s="3">
        <v>0</v>
      </c>
      <c r="C4" s="3">
        <v>0</v>
      </c>
      <c r="D4" s="3">
        <v>0</v>
      </c>
      <c r="E4" s="3">
        <v>2</v>
      </c>
      <c r="F4" s="3">
        <v>1</v>
      </c>
      <c r="H4" s="3">
        <f t="shared" si="0"/>
        <v>0</v>
      </c>
      <c r="I4" s="3">
        <f t="shared" si="1"/>
        <v>0</v>
      </c>
      <c r="J4" s="3">
        <f t="shared" si="2"/>
        <v>0</v>
      </c>
      <c r="K4" s="8">
        <f t="shared" si="3"/>
        <v>0.00947867298578199</v>
      </c>
      <c r="L4" s="8">
        <f t="shared" si="4"/>
        <v>0.0135135135135135</v>
      </c>
    </row>
    <row r="5" ht="20.25" customHeight="1" spans="1:14">
      <c r="A5" s="1" t="s">
        <v>9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H5" s="3">
        <f t="shared" si="0"/>
        <v>0</v>
      </c>
      <c r="I5" s="3">
        <f t="shared" si="1"/>
        <v>0</v>
      </c>
      <c r="J5" s="3">
        <f t="shared" si="2"/>
        <v>0</v>
      </c>
      <c r="K5" s="8">
        <f t="shared" si="3"/>
        <v>0.004739336492891</v>
      </c>
      <c r="L5" s="3">
        <f t="shared" si="4"/>
        <v>0</v>
      </c>
    </row>
    <row r="6" ht="20.25" customHeight="1" spans="1:14">
      <c r="A6" s="1" t="s">
        <v>10</v>
      </c>
      <c r="B6" s="3">
        <v>1</v>
      </c>
      <c r="C6" s="3">
        <v>2</v>
      </c>
      <c r="D6" s="3">
        <v>16</v>
      </c>
      <c r="E6" s="3">
        <v>47</v>
      </c>
      <c r="F6" s="3">
        <v>11</v>
      </c>
      <c r="H6" s="8">
        <f t="shared" si="0"/>
        <v>0.166666666666667</v>
      </c>
      <c r="I6" s="8">
        <f t="shared" si="1"/>
        <v>0.0377358490566038</v>
      </c>
      <c r="J6" s="8">
        <f t="shared" si="2"/>
        <v>0.219178082191781</v>
      </c>
      <c r="K6" s="8">
        <f t="shared" si="3"/>
        <v>0.222748815165877</v>
      </c>
      <c r="L6" s="8">
        <f t="shared" si="4"/>
        <v>0.148648648648649</v>
      </c>
      <c r="N6" s="1" t="s">
        <v>11</v>
      </c>
    </row>
    <row r="7" ht="20.25" customHeight="1" spans="1:14">
      <c r="A7" s="1" t="s">
        <v>12</v>
      </c>
      <c r="B7" s="3">
        <v>0</v>
      </c>
      <c r="C7" s="3">
        <v>0</v>
      </c>
      <c r="D7" s="3">
        <v>0</v>
      </c>
      <c r="E7" s="3">
        <v>2</v>
      </c>
      <c r="F7" s="3">
        <v>1</v>
      </c>
      <c r="H7" s="3">
        <f t="shared" si="0"/>
        <v>0</v>
      </c>
      <c r="I7" s="3">
        <f t="shared" si="1"/>
        <v>0</v>
      </c>
      <c r="J7" s="3">
        <f t="shared" si="2"/>
        <v>0</v>
      </c>
      <c r="K7" s="8">
        <f t="shared" si="3"/>
        <v>0.00947867298578199</v>
      </c>
      <c r="L7" s="8">
        <f t="shared" si="4"/>
        <v>0.0135135135135135</v>
      </c>
    </row>
    <row r="8" ht="20.25" customHeight="1" spans="1:14">
      <c r="A8" s="1" t="s">
        <v>13</v>
      </c>
      <c r="B8" s="3">
        <v>0</v>
      </c>
      <c r="C8" s="3">
        <v>0</v>
      </c>
      <c r="D8" s="3">
        <v>0</v>
      </c>
      <c r="E8" s="3">
        <v>1</v>
      </c>
      <c r="F8" s="3">
        <v>0</v>
      </c>
      <c r="H8" s="3">
        <f t="shared" si="0"/>
        <v>0</v>
      </c>
      <c r="I8" s="3">
        <f t="shared" si="1"/>
        <v>0</v>
      </c>
      <c r="J8" s="3">
        <f t="shared" si="2"/>
        <v>0</v>
      </c>
      <c r="K8" s="8">
        <f t="shared" si="3"/>
        <v>0.004739336492891</v>
      </c>
      <c r="L8" s="3">
        <f t="shared" si="4"/>
        <v>0</v>
      </c>
    </row>
    <row r="9" ht="20.25" customHeight="1" spans="1:14">
      <c r="A9" s="1" t="s">
        <v>14</v>
      </c>
      <c r="B9" s="3">
        <v>0</v>
      </c>
      <c r="C9" s="3">
        <v>0</v>
      </c>
      <c r="D9" s="3">
        <v>2</v>
      </c>
      <c r="E9" s="3">
        <v>16</v>
      </c>
      <c r="F9" s="3">
        <v>4</v>
      </c>
      <c r="H9" s="3">
        <f t="shared" si="0"/>
        <v>0</v>
      </c>
      <c r="I9" s="3">
        <f t="shared" si="1"/>
        <v>0</v>
      </c>
      <c r="J9" s="8">
        <f t="shared" si="2"/>
        <v>0.0273972602739726</v>
      </c>
      <c r="K9" s="8">
        <f t="shared" si="3"/>
        <v>0.0758293838862559</v>
      </c>
      <c r="L9" s="8">
        <f t="shared" si="4"/>
        <v>0.0540540540540541</v>
      </c>
    </row>
    <row r="10" ht="20.25" customHeight="1" spans="1:14">
      <c r="A10" s="1" t="s">
        <v>15</v>
      </c>
      <c r="B10" s="3">
        <v>0</v>
      </c>
      <c r="C10" s="3">
        <v>1</v>
      </c>
      <c r="D10" s="3">
        <v>1</v>
      </c>
      <c r="E10" s="3">
        <v>2</v>
      </c>
      <c r="F10" s="3">
        <v>0</v>
      </c>
      <c r="H10" s="3">
        <f t="shared" si="0"/>
        <v>0</v>
      </c>
      <c r="I10" s="8">
        <f t="shared" si="1"/>
        <v>0.0188679245283019</v>
      </c>
      <c r="J10" s="8">
        <f t="shared" si="2"/>
        <v>0.0136986301369863</v>
      </c>
      <c r="K10" s="8">
        <f t="shared" si="3"/>
        <v>0.00947867298578199</v>
      </c>
      <c r="L10" s="3">
        <f t="shared" si="4"/>
        <v>0</v>
      </c>
    </row>
    <row r="11" ht="20.25" customHeight="1" spans="1:14">
      <c r="A11" s="1" t="s">
        <v>16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H11" s="3">
        <f t="shared" si="0"/>
        <v>0</v>
      </c>
      <c r="I11" s="8">
        <f t="shared" si="1"/>
        <v>0.0188679245283019</v>
      </c>
      <c r="J11" s="3">
        <f t="shared" si="2"/>
        <v>0</v>
      </c>
      <c r="K11" s="3">
        <f t="shared" si="3"/>
        <v>0</v>
      </c>
      <c r="L11" s="8">
        <f t="shared" si="4"/>
        <v>0.0135135135135135</v>
      </c>
    </row>
    <row r="12" ht="20.25" customHeight="1" spans="1:14">
      <c r="A12" s="1" t="s">
        <v>17</v>
      </c>
      <c r="B12" s="3">
        <v>0</v>
      </c>
      <c r="C12" s="3">
        <v>1</v>
      </c>
      <c r="D12" s="3">
        <v>1</v>
      </c>
      <c r="E12" s="3">
        <v>7</v>
      </c>
      <c r="F12" s="3">
        <v>2</v>
      </c>
      <c r="H12" s="3">
        <f t="shared" si="0"/>
        <v>0</v>
      </c>
      <c r="I12" s="8">
        <f t="shared" si="1"/>
        <v>0.0188679245283019</v>
      </c>
      <c r="J12" s="8">
        <f t="shared" si="2"/>
        <v>0.0136986301369863</v>
      </c>
      <c r="K12" s="8">
        <f t="shared" si="3"/>
        <v>0.033175355450237</v>
      </c>
      <c r="L12" s="8">
        <f t="shared" si="4"/>
        <v>0.027027027027027</v>
      </c>
    </row>
    <row r="13" ht="20.25" customHeight="1" spans="1:14">
      <c r="A13" s="1" t="s">
        <v>18</v>
      </c>
      <c r="B13" s="3">
        <v>0</v>
      </c>
      <c r="C13" s="3">
        <v>0</v>
      </c>
      <c r="D13" s="3">
        <v>0</v>
      </c>
      <c r="E13" s="3">
        <v>1</v>
      </c>
      <c r="F13" s="3">
        <v>1</v>
      </c>
      <c r="H13" s="3">
        <f t="shared" si="0"/>
        <v>0</v>
      </c>
      <c r="I13" s="3">
        <f t="shared" si="1"/>
        <v>0</v>
      </c>
      <c r="J13" s="3">
        <f t="shared" si="2"/>
        <v>0</v>
      </c>
      <c r="K13" s="8">
        <f t="shared" si="3"/>
        <v>0.004739336492891</v>
      </c>
      <c r="L13" s="8">
        <f t="shared" si="4"/>
        <v>0.0135135135135135</v>
      </c>
    </row>
    <row r="14" ht="18.75" customHeight="1" spans="1:14">
      <c r="A14" s="1" t="s">
        <v>19</v>
      </c>
      <c r="B14" s="3">
        <v>0</v>
      </c>
      <c r="C14" s="3">
        <v>0</v>
      </c>
      <c r="D14" s="3">
        <v>0</v>
      </c>
      <c r="E14" s="3">
        <v>1</v>
      </c>
      <c r="F14" s="3">
        <v>0</v>
      </c>
      <c r="H14" s="3">
        <f t="shared" si="0"/>
        <v>0</v>
      </c>
      <c r="I14" s="3">
        <f t="shared" si="1"/>
        <v>0</v>
      </c>
      <c r="J14" s="3">
        <f t="shared" si="2"/>
        <v>0</v>
      </c>
      <c r="K14" s="8">
        <f t="shared" si="3"/>
        <v>0.004739336492891</v>
      </c>
      <c r="L14" s="3">
        <f t="shared" si="4"/>
        <v>0</v>
      </c>
    </row>
    <row r="15" ht="18.75" customHeight="1" spans="1:14">
      <c r="A15" s="1" t="s">
        <v>20</v>
      </c>
      <c r="B15" s="3">
        <v>0</v>
      </c>
      <c r="C15" s="3">
        <v>0</v>
      </c>
      <c r="D15" s="3">
        <v>1</v>
      </c>
      <c r="E15" s="3">
        <v>0</v>
      </c>
      <c r="F15" s="3">
        <v>2</v>
      </c>
      <c r="H15" s="3">
        <f t="shared" si="0"/>
        <v>0</v>
      </c>
      <c r="I15" s="3">
        <f t="shared" si="1"/>
        <v>0</v>
      </c>
      <c r="J15" s="8">
        <f t="shared" si="2"/>
        <v>0.0136986301369863</v>
      </c>
      <c r="K15" s="3">
        <f t="shared" si="3"/>
        <v>0</v>
      </c>
      <c r="L15" s="8">
        <f t="shared" si="4"/>
        <v>0.027027027027027</v>
      </c>
    </row>
    <row r="16" ht="18.75" customHeight="1" spans="1:14">
      <c r="A16" s="1" t="s">
        <v>21</v>
      </c>
      <c r="B16" s="3">
        <v>0</v>
      </c>
      <c r="C16" s="3">
        <v>0</v>
      </c>
      <c r="D16" s="3">
        <v>0</v>
      </c>
      <c r="E16" s="3">
        <v>5</v>
      </c>
      <c r="F16" s="3">
        <v>3</v>
      </c>
      <c r="H16" s="3">
        <f t="shared" si="0"/>
        <v>0</v>
      </c>
      <c r="I16" s="3">
        <f t="shared" si="1"/>
        <v>0</v>
      </c>
      <c r="J16" s="3">
        <f t="shared" si="2"/>
        <v>0</v>
      </c>
      <c r="K16" s="8">
        <f t="shared" si="3"/>
        <v>0.023696682464455</v>
      </c>
      <c r="L16" s="8">
        <f t="shared" si="4"/>
        <v>0.0405405405405405</v>
      </c>
    </row>
    <row r="17" ht="18.75" customHeight="1" spans="1:12">
      <c r="A17" s="1" t="s">
        <v>22</v>
      </c>
      <c r="B17" s="3">
        <v>0</v>
      </c>
      <c r="C17" s="3">
        <v>0</v>
      </c>
      <c r="D17" s="3">
        <v>0</v>
      </c>
      <c r="E17" s="3">
        <v>3</v>
      </c>
      <c r="F17" s="3">
        <v>0</v>
      </c>
      <c r="H17" s="3">
        <f t="shared" si="0"/>
        <v>0</v>
      </c>
      <c r="I17" s="3">
        <f t="shared" si="1"/>
        <v>0</v>
      </c>
      <c r="J17" s="3">
        <f t="shared" si="2"/>
        <v>0</v>
      </c>
      <c r="K17" s="8">
        <f t="shared" si="3"/>
        <v>0.014218009478673</v>
      </c>
      <c r="L17" s="3">
        <f t="shared" si="4"/>
        <v>0</v>
      </c>
    </row>
    <row r="18" ht="18.75" customHeight="1" spans="1:12">
      <c r="A18" s="1" t="s">
        <v>23</v>
      </c>
      <c r="B18" s="3">
        <v>0</v>
      </c>
      <c r="C18" s="3">
        <v>1</v>
      </c>
      <c r="D18" s="3">
        <v>0</v>
      </c>
      <c r="E18" s="3">
        <v>0</v>
      </c>
      <c r="F18" s="3">
        <v>0</v>
      </c>
      <c r="H18" s="3">
        <f t="shared" si="0"/>
        <v>0</v>
      </c>
      <c r="I18" s="8">
        <f t="shared" si="1"/>
        <v>0.0188679245283019</v>
      </c>
      <c r="J18" s="3">
        <f t="shared" si="2"/>
        <v>0</v>
      </c>
      <c r="K18" s="3">
        <f t="shared" si="3"/>
        <v>0</v>
      </c>
      <c r="L18" s="3">
        <f t="shared" si="4"/>
        <v>0</v>
      </c>
    </row>
    <row r="19" ht="18.75" customHeight="1" spans="1:12">
      <c r="A19" s="1" t="s">
        <v>24</v>
      </c>
      <c r="B19" s="3">
        <v>0</v>
      </c>
      <c r="C19" s="3">
        <v>1</v>
      </c>
      <c r="D19" s="3">
        <v>0</v>
      </c>
      <c r="E19" s="3">
        <v>2</v>
      </c>
      <c r="F19" s="3">
        <v>1</v>
      </c>
      <c r="H19" s="3">
        <f t="shared" si="0"/>
        <v>0</v>
      </c>
      <c r="I19" s="8">
        <f t="shared" si="1"/>
        <v>0.0188679245283019</v>
      </c>
      <c r="J19" s="3">
        <f t="shared" si="2"/>
        <v>0</v>
      </c>
      <c r="K19" s="8">
        <f t="shared" si="3"/>
        <v>0.00947867298578199</v>
      </c>
      <c r="L19" s="8">
        <f t="shared" si="4"/>
        <v>0.0135135135135135</v>
      </c>
    </row>
    <row r="20" ht="18.75" customHeight="1" spans="1:12">
      <c r="A20" s="1" t="s">
        <v>25</v>
      </c>
      <c r="B20" s="3">
        <v>0</v>
      </c>
      <c r="C20" s="3">
        <v>0</v>
      </c>
      <c r="D20" s="3">
        <v>0</v>
      </c>
      <c r="E20" s="3">
        <v>7</v>
      </c>
      <c r="F20" s="3">
        <v>2</v>
      </c>
      <c r="H20" s="3">
        <f t="shared" si="0"/>
        <v>0</v>
      </c>
      <c r="I20" s="3">
        <f t="shared" si="1"/>
        <v>0</v>
      </c>
      <c r="J20" s="3">
        <f t="shared" si="2"/>
        <v>0</v>
      </c>
      <c r="K20" s="8">
        <f t="shared" si="3"/>
        <v>0.033175355450237</v>
      </c>
      <c r="L20" s="8">
        <f t="shared" si="4"/>
        <v>0.027027027027027</v>
      </c>
    </row>
    <row r="21" ht="18.75" customHeight="1" spans="1:12">
      <c r="A21" s="1" t="s">
        <v>26</v>
      </c>
      <c r="B21" s="3">
        <v>0</v>
      </c>
      <c r="C21" s="3">
        <v>0</v>
      </c>
      <c r="D21" s="3">
        <v>0</v>
      </c>
      <c r="E21" s="3">
        <v>3</v>
      </c>
      <c r="F21" s="3">
        <v>1</v>
      </c>
      <c r="H21" s="3">
        <f t="shared" si="0"/>
        <v>0</v>
      </c>
      <c r="I21" s="3">
        <f t="shared" si="1"/>
        <v>0</v>
      </c>
      <c r="J21" s="3">
        <f t="shared" si="2"/>
        <v>0</v>
      </c>
      <c r="K21" s="8">
        <f t="shared" si="3"/>
        <v>0.014218009478673</v>
      </c>
      <c r="L21" s="8">
        <f t="shared" si="4"/>
        <v>0.0135135135135135</v>
      </c>
    </row>
    <row r="22" ht="18.75" customHeight="1" spans="1:12">
      <c r="A22" s="1" t="s">
        <v>27</v>
      </c>
      <c r="B22" s="3">
        <v>0</v>
      </c>
      <c r="C22" s="3">
        <v>0</v>
      </c>
      <c r="D22" s="3">
        <v>0</v>
      </c>
      <c r="E22" s="3">
        <v>1</v>
      </c>
      <c r="F22" s="3">
        <v>0</v>
      </c>
      <c r="H22" s="3">
        <f t="shared" si="0"/>
        <v>0</v>
      </c>
      <c r="I22" s="3">
        <f t="shared" si="1"/>
        <v>0</v>
      </c>
      <c r="J22" s="3">
        <f t="shared" si="2"/>
        <v>0</v>
      </c>
      <c r="K22" s="8">
        <f t="shared" si="3"/>
        <v>0.004739336492891</v>
      </c>
      <c r="L22" s="3">
        <f t="shared" si="4"/>
        <v>0</v>
      </c>
    </row>
    <row r="23" ht="18.75" customHeight="1" spans="1:12">
      <c r="A23" s="1" t="s">
        <v>28</v>
      </c>
      <c r="B23" s="3">
        <v>0</v>
      </c>
      <c r="C23" s="3">
        <v>0</v>
      </c>
      <c r="D23" s="3">
        <v>1</v>
      </c>
      <c r="E23" s="3">
        <v>1</v>
      </c>
      <c r="F23" s="3">
        <v>0</v>
      </c>
      <c r="H23" s="3">
        <f t="shared" si="0"/>
        <v>0</v>
      </c>
      <c r="I23" s="3">
        <f t="shared" si="1"/>
        <v>0</v>
      </c>
      <c r="J23" s="8">
        <f t="shared" si="2"/>
        <v>0.0136986301369863</v>
      </c>
      <c r="K23" s="8">
        <f t="shared" si="3"/>
        <v>0.004739336492891</v>
      </c>
      <c r="L23" s="3">
        <f t="shared" si="4"/>
        <v>0</v>
      </c>
    </row>
    <row r="24" ht="18.75" customHeight="1" spans="1:12">
      <c r="A24" s="1" t="s">
        <v>29</v>
      </c>
      <c r="B24" s="3">
        <v>0</v>
      </c>
      <c r="C24" s="3">
        <v>0</v>
      </c>
      <c r="D24" s="3">
        <v>0</v>
      </c>
      <c r="E24" s="3">
        <v>1</v>
      </c>
      <c r="F24" s="3">
        <v>0</v>
      </c>
      <c r="H24" s="3">
        <f t="shared" si="0"/>
        <v>0</v>
      </c>
      <c r="I24" s="3">
        <f t="shared" si="1"/>
        <v>0</v>
      </c>
      <c r="J24" s="3">
        <f t="shared" si="2"/>
        <v>0</v>
      </c>
      <c r="K24" s="8">
        <f t="shared" si="3"/>
        <v>0.004739336492891</v>
      </c>
      <c r="L24" s="3">
        <f t="shared" si="4"/>
        <v>0</v>
      </c>
    </row>
    <row r="25" ht="18.75" customHeight="1" spans="1:12">
      <c r="A25" s="1" t="s">
        <v>30</v>
      </c>
      <c r="B25" s="3">
        <v>0</v>
      </c>
      <c r="C25" s="3">
        <v>0</v>
      </c>
      <c r="D25" s="3">
        <v>1</v>
      </c>
      <c r="E25" s="3">
        <v>5</v>
      </c>
      <c r="F25" s="3">
        <v>2</v>
      </c>
      <c r="H25" s="3">
        <f t="shared" si="0"/>
        <v>0</v>
      </c>
      <c r="I25" s="3">
        <f t="shared" si="1"/>
        <v>0</v>
      </c>
      <c r="J25" s="8">
        <f t="shared" si="2"/>
        <v>0.0136986301369863</v>
      </c>
      <c r="K25" s="8">
        <f t="shared" si="3"/>
        <v>0.023696682464455</v>
      </c>
      <c r="L25" s="8">
        <f t="shared" si="4"/>
        <v>0.027027027027027</v>
      </c>
    </row>
    <row r="26" ht="18.75" customHeight="1" spans="1:12">
      <c r="A26" s="1" t="s">
        <v>31</v>
      </c>
      <c r="B26" s="3">
        <v>1</v>
      </c>
      <c r="C26" s="3">
        <v>3</v>
      </c>
      <c r="D26" s="3">
        <v>10</v>
      </c>
      <c r="E26" s="3">
        <v>30</v>
      </c>
      <c r="F26" s="3">
        <v>7</v>
      </c>
      <c r="H26" s="8">
        <f t="shared" si="0"/>
        <v>0.166666666666667</v>
      </c>
      <c r="I26" s="8">
        <f t="shared" si="1"/>
        <v>0.0566037735849057</v>
      </c>
      <c r="J26" s="8">
        <f t="shared" si="2"/>
        <v>0.136986301369863</v>
      </c>
      <c r="K26" s="8">
        <f t="shared" si="3"/>
        <v>0.14218009478673</v>
      </c>
      <c r="L26" s="8">
        <f t="shared" si="4"/>
        <v>0.0945945945945946</v>
      </c>
    </row>
    <row r="27" ht="18.75" customHeight="1" spans="1:12">
      <c r="A27" s="1" t="s">
        <v>32</v>
      </c>
      <c r="B27" s="3">
        <v>0</v>
      </c>
      <c r="C27" s="3">
        <v>1</v>
      </c>
      <c r="D27" s="3">
        <v>1</v>
      </c>
      <c r="E27" s="3">
        <v>11</v>
      </c>
      <c r="F27" s="3">
        <v>0</v>
      </c>
      <c r="H27" s="3">
        <f t="shared" si="0"/>
        <v>0</v>
      </c>
      <c r="I27" s="8">
        <f t="shared" si="1"/>
        <v>0.0188679245283019</v>
      </c>
      <c r="J27" s="8">
        <f t="shared" si="2"/>
        <v>0.0136986301369863</v>
      </c>
      <c r="K27" s="8">
        <f t="shared" si="3"/>
        <v>0.0521327014218009</v>
      </c>
      <c r="L27" s="3">
        <f t="shared" si="4"/>
        <v>0</v>
      </c>
    </row>
    <row r="28" ht="18.75" customHeight="1" spans="1:12">
      <c r="A28" s="1" t="s">
        <v>33</v>
      </c>
      <c r="B28" s="3">
        <v>0</v>
      </c>
      <c r="C28" s="3">
        <v>0</v>
      </c>
      <c r="D28" s="3">
        <v>0</v>
      </c>
      <c r="E28" s="3">
        <v>1</v>
      </c>
      <c r="F28" s="3">
        <v>0</v>
      </c>
      <c r="H28" s="3">
        <f t="shared" si="0"/>
        <v>0</v>
      </c>
      <c r="I28" s="3">
        <f t="shared" si="1"/>
        <v>0</v>
      </c>
      <c r="J28" s="3">
        <f t="shared" si="2"/>
        <v>0</v>
      </c>
      <c r="K28" s="8">
        <f t="shared" si="3"/>
        <v>0.004739336492891</v>
      </c>
      <c r="L28" s="3">
        <f t="shared" si="4"/>
        <v>0</v>
      </c>
    </row>
    <row r="29" ht="18.75" customHeight="1" spans="1:12">
      <c r="A29" s="1" t="s">
        <v>34</v>
      </c>
      <c r="B29" s="3">
        <v>0</v>
      </c>
      <c r="C29" s="3">
        <v>2</v>
      </c>
      <c r="D29" s="3">
        <v>1</v>
      </c>
      <c r="E29" s="3">
        <v>3</v>
      </c>
      <c r="F29" s="3">
        <v>0</v>
      </c>
      <c r="H29" s="3">
        <f t="shared" si="0"/>
        <v>0</v>
      </c>
      <c r="I29" s="8">
        <f t="shared" si="1"/>
        <v>0.0377358490566038</v>
      </c>
      <c r="J29" s="8">
        <f t="shared" si="2"/>
        <v>0.0136986301369863</v>
      </c>
      <c r="K29" s="8">
        <f t="shared" si="3"/>
        <v>0.014218009478673</v>
      </c>
      <c r="L29" s="3">
        <f t="shared" si="4"/>
        <v>0</v>
      </c>
    </row>
    <row r="30" ht="18.75" customHeight="1" spans="1:12">
      <c r="A30" s="1" t="s">
        <v>35</v>
      </c>
      <c r="B30" s="3">
        <v>1</v>
      </c>
      <c r="C30" s="3">
        <v>7</v>
      </c>
      <c r="D30" s="3">
        <v>16</v>
      </c>
      <c r="E30" s="3">
        <v>58</v>
      </c>
      <c r="F30" s="3">
        <v>31</v>
      </c>
      <c r="H30" s="8">
        <f t="shared" si="0"/>
        <v>0.166666666666667</v>
      </c>
      <c r="I30" s="8">
        <f t="shared" si="1"/>
        <v>0.132075471698113</v>
      </c>
      <c r="J30" s="8">
        <f t="shared" si="2"/>
        <v>0.219178082191781</v>
      </c>
      <c r="K30" s="8">
        <f t="shared" si="3"/>
        <v>0.274881516587678</v>
      </c>
      <c r="L30" s="8">
        <f t="shared" si="4"/>
        <v>0.418918918918919</v>
      </c>
    </row>
    <row r="31" ht="18.75" customHeight="1" spans="1:12">
      <c r="A31" s="1" t="s">
        <v>36</v>
      </c>
      <c r="B31" s="3">
        <v>0</v>
      </c>
      <c r="C31" s="3">
        <v>0</v>
      </c>
      <c r="D31" s="3">
        <v>0</v>
      </c>
      <c r="E31" s="3">
        <v>1</v>
      </c>
      <c r="F31" s="3">
        <v>0</v>
      </c>
      <c r="H31" s="3">
        <f t="shared" si="0"/>
        <v>0</v>
      </c>
      <c r="I31" s="3">
        <f t="shared" si="1"/>
        <v>0</v>
      </c>
      <c r="J31" s="3">
        <f t="shared" si="2"/>
        <v>0</v>
      </c>
      <c r="K31" s="8">
        <f t="shared" si="3"/>
        <v>0.004739336492891</v>
      </c>
      <c r="L31" s="3">
        <f t="shared" si="4"/>
        <v>0</v>
      </c>
    </row>
    <row r="32" ht="18.75" customHeight="1" spans="1:12">
      <c r="A32" s="1" t="s">
        <v>37</v>
      </c>
      <c r="B32" s="3">
        <v>0</v>
      </c>
      <c r="C32" s="3">
        <v>0</v>
      </c>
      <c r="D32" s="3">
        <v>1</v>
      </c>
      <c r="E32" s="3">
        <v>0</v>
      </c>
      <c r="F32" s="3">
        <v>1</v>
      </c>
      <c r="H32" s="3">
        <f t="shared" si="0"/>
        <v>0</v>
      </c>
      <c r="I32" s="3">
        <f t="shared" si="1"/>
        <v>0</v>
      </c>
      <c r="J32" s="8">
        <f t="shared" si="2"/>
        <v>0.0136986301369863</v>
      </c>
      <c r="K32" s="3">
        <f t="shared" si="3"/>
        <v>0</v>
      </c>
      <c r="L32" s="8">
        <f t="shared" si="4"/>
        <v>0.0135135135135135</v>
      </c>
    </row>
    <row r="33" ht="18.75" customHeight="1" spans="1:12">
      <c r="A33" s="1" t="s">
        <v>38</v>
      </c>
      <c r="B33" s="3">
        <v>0</v>
      </c>
      <c r="C33" s="3">
        <v>12</v>
      </c>
      <c r="D33" s="3">
        <v>19</v>
      </c>
      <c r="E33" s="3">
        <v>96</v>
      </c>
      <c r="F33" s="3">
        <v>36</v>
      </c>
      <c r="H33" s="3">
        <f t="shared" si="0"/>
        <v>0</v>
      </c>
      <c r="I33" s="8">
        <f t="shared" si="1"/>
        <v>0.226415094339623</v>
      </c>
      <c r="J33" s="8">
        <f t="shared" si="2"/>
        <v>0.26027397260274</v>
      </c>
      <c r="K33" s="8">
        <f t="shared" si="3"/>
        <v>0.454976303317536</v>
      </c>
      <c r="L33" s="8">
        <f t="shared" si="4"/>
        <v>0.486486486486487</v>
      </c>
    </row>
    <row r="34" ht="18.75" customHeight="1" spans="1:12">
      <c r="A34" s="1" t="s">
        <v>39</v>
      </c>
      <c r="B34" s="3">
        <v>0</v>
      </c>
      <c r="C34" s="3">
        <v>0</v>
      </c>
      <c r="D34" s="3">
        <v>1</v>
      </c>
      <c r="E34" s="3">
        <v>5</v>
      </c>
      <c r="F34" s="3">
        <v>1</v>
      </c>
      <c r="H34" s="3">
        <f t="shared" si="0"/>
        <v>0</v>
      </c>
      <c r="I34" s="3">
        <f t="shared" si="1"/>
        <v>0</v>
      </c>
      <c r="J34" s="8">
        <f t="shared" si="2"/>
        <v>0.0136986301369863</v>
      </c>
      <c r="K34" s="8">
        <f t="shared" si="3"/>
        <v>0.023696682464455</v>
      </c>
      <c r="L34" s="8">
        <f t="shared" si="4"/>
        <v>0.0135135135135135</v>
      </c>
    </row>
    <row r="35" ht="18.75" customHeight="1" spans="1:12">
      <c r="A35" s="1" t="s">
        <v>40</v>
      </c>
      <c r="B35" s="3">
        <v>0</v>
      </c>
      <c r="C35" s="3">
        <v>2</v>
      </c>
      <c r="D35" s="3">
        <v>4</v>
      </c>
      <c r="E35" s="3">
        <v>17</v>
      </c>
      <c r="F35" s="3">
        <v>14</v>
      </c>
      <c r="H35" s="3">
        <f t="shared" si="0"/>
        <v>0</v>
      </c>
      <c r="I35" s="8">
        <f t="shared" si="1"/>
        <v>0.0377358490566038</v>
      </c>
      <c r="J35" s="8">
        <f t="shared" si="2"/>
        <v>0.0547945205479452</v>
      </c>
      <c r="K35" s="8">
        <f t="shared" si="3"/>
        <v>0.0805687203791469</v>
      </c>
      <c r="L35" s="8">
        <f t="shared" si="4"/>
        <v>0.189189189189189</v>
      </c>
    </row>
    <row r="36" ht="18.75" customHeight="1" spans="1:12">
      <c r="A36" s="1" t="s">
        <v>41</v>
      </c>
      <c r="B36" s="3">
        <v>1</v>
      </c>
      <c r="C36" s="3">
        <v>4</v>
      </c>
      <c r="D36" s="3">
        <v>6</v>
      </c>
      <c r="E36" s="3">
        <v>23</v>
      </c>
      <c r="F36" s="3">
        <v>9</v>
      </c>
      <c r="H36" s="8">
        <f t="shared" si="0"/>
        <v>0.166666666666667</v>
      </c>
      <c r="I36" s="8">
        <f t="shared" si="1"/>
        <v>0.0754716981132075</v>
      </c>
      <c r="J36" s="8">
        <f t="shared" si="2"/>
        <v>0.0821917808219178</v>
      </c>
      <c r="K36" s="8">
        <f t="shared" si="3"/>
        <v>0.109004739336493</v>
      </c>
      <c r="L36" s="8">
        <f t="shared" si="4"/>
        <v>0.121621621621622</v>
      </c>
    </row>
    <row r="37" ht="18.75" customHeight="1" spans="1:12">
      <c r="A37" s="1" t="s">
        <v>42</v>
      </c>
      <c r="B37" s="3">
        <v>1</v>
      </c>
      <c r="C37" s="3">
        <v>12</v>
      </c>
      <c r="D37" s="3">
        <v>19</v>
      </c>
      <c r="E37" s="3">
        <v>63</v>
      </c>
      <c r="F37" s="3">
        <v>23</v>
      </c>
      <c r="H37" s="8">
        <f t="shared" si="0"/>
        <v>0.166666666666667</v>
      </c>
      <c r="I37" s="8">
        <f t="shared" si="1"/>
        <v>0.226415094339623</v>
      </c>
      <c r="J37" s="8">
        <f t="shared" si="2"/>
        <v>0.26027397260274</v>
      </c>
      <c r="K37" s="8">
        <f t="shared" si="3"/>
        <v>0.298578199052133</v>
      </c>
      <c r="L37" s="8">
        <f t="shared" si="4"/>
        <v>0.310810810810811</v>
      </c>
    </row>
    <row r="38" ht="18.75" customHeight="1" spans="1:12">
      <c r="A38" s="1" t="s">
        <v>43</v>
      </c>
      <c r="B38" s="3">
        <v>2</v>
      </c>
      <c r="C38" s="3">
        <v>9</v>
      </c>
      <c r="D38" s="3">
        <v>12</v>
      </c>
      <c r="E38" s="3">
        <v>45</v>
      </c>
      <c r="F38" s="3">
        <v>23</v>
      </c>
      <c r="H38" s="8">
        <f t="shared" si="0"/>
        <v>0.333333333333333</v>
      </c>
      <c r="I38" s="8">
        <f t="shared" si="1"/>
        <v>0.169811320754717</v>
      </c>
      <c r="J38" s="8">
        <f t="shared" si="2"/>
        <v>0.164383561643836</v>
      </c>
      <c r="K38" s="8">
        <f t="shared" si="3"/>
        <v>0.213270142180095</v>
      </c>
      <c r="L38" s="8">
        <f t="shared" si="4"/>
        <v>0.310810810810811</v>
      </c>
    </row>
    <row r="39" ht="18.75" customHeight="1" spans="1:12">
      <c r="A39" s="1" t="s">
        <v>44</v>
      </c>
      <c r="B39" s="3">
        <v>0</v>
      </c>
      <c r="C39" s="3">
        <v>0</v>
      </c>
      <c r="D39" s="3">
        <v>0</v>
      </c>
      <c r="E39" s="3">
        <v>0</v>
      </c>
      <c r="F39" s="3">
        <v>1</v>
      </c>
      <c r="H39" s="3">
        <f t="shared" si="0"/>
        <v>0</v>
      </c>
      <c r="I39" s="3">
        <f t="shared" si="1"/>
        <v>0</v>
      </c>
      <c r="J39" s="3">
        <f t="shared" si="2"/>
        <v>0</v>
      </c>
      <c r="K39" s="3">
        <f t="shared" si="3"/>
        <v>0</v>
      </c>
      <c r="L39" s="8">
        <f t="shared" si="4"/>
        <v>0.0135135135135135</v>
      </c>
    </row>
    <row r="40" ht="18.75" customHeight="1" spans="1:12">
      <c r="A40" s="1" t="s">
        <v>45</v>
      </c>
      <c r="B40" s="3">
        <v>0</v>
      </c>
      <c r="C40" s="3">
        <v>0</v>
      </c>
      <c r="D40" s="3">
        <v>1</v>
      </c>
      <c r="E40" s="3">
        <v>1</v>
      </c>
      <c r="F40" s="3">
        <v>0</v>
      </c>
      <c r="H40" s="3">
        <f t="shared" si="0"/>
        <v>0</v>
      </c>
      <c r="I40" s="3">
        <f t="shared" si="1"/>
        <v>0</v>
      </c>
      <c r="J40" s="8">
        <f t="shared" si="2"/>
        <v>0.0136986301369863</v>
      </c>
      <c r="K40" s="8">
        <f t="shared" si="3"/>
        <v>0.004739336492891</v>
      </c>
      <c r="L40" s="3">
        <f t="shared" si="4"/>
        <v>0</v>
      </c>
    </row>
    <row r="41" ht="18.75" customHeight="1" spans="1:12">
      <c r="A41" s="1" t="s">
        <v>46</v>
      </c>
      <c r="B41" s="3">
        <v>0</v>
      </c>
      <c r="C41" s="3">
        <v>0</v>
      </c>
      <c r="D41" s="3">
        <v>1</v>
      </c>
      <c r="E41" s="3">
        <v>0</v>
      </c>
      <c r="F41" s="3">
        <v>0</v>
      </c>
      <c r="H41" s="3">
        <f t="shared" si="0"/>
        <v>0</v>
      </c>
      <c r="I41" s="3">
        <f t="shared" si="1"/>
        <v>0</v>
      </c>
      <c r="J41" s="8">
        <f t="shared" si="2"/>
        <v>0.0136986301369863</v>
      </c>
      <c r="K41" s="3">
        <f t="shared" si="3"/>
        <v>0</v>
      </c>
      <c r="L41" s="3">
        <f t="shared" si="4"/>
        <v>0</v>
      </c>
    </row>
    <row r="42" ht="18.75" customHeight="1" spans="1:12">
      <c r="A42" s="1" t="s">
        <v>47</v>
      </c>
      <c r="B42" s="3">
        <v>0</v>
      </c>
      <c r="C42" s="3">
        <v>0</v>
      </c>
      <c r="D42" s="3">
        <v>0</v>
      </c>
      <c r="E42" s="3">
        <v>3</v>
      </c>
      <c r="F42" s="3">
        <v>1</v>
      </c>
      <c r="H42" s="3">
        <f t="shared" si="0"/>
        <v>0</v>
      </c>
      <c r="I42" s="3">
        <f t="shared" si="1"/>
        <v>0</v>
      </c>
      <c r="J42" s="3">
        <f t="shared" si="2"/>
        <v>0</v>
      </c>
      <c r="K42" s="8">
        <f t="shared" si="3"/>
        <v>0.014218009478673</v>
      </c>
      <c r="L42" s="8">
        <f t="shared" si="4"/>
        <v>0.0135135135135135</v>
      </c>
    </row>
    <row r="43" ht="18.75" customHeight="1" spans="1:12">
      <c r="A43" s="1" t="s">
        <v>48</v>
      </c>
      <c r="B43" s="3">
        <v>0</v>
      </c>
      <c r="C43" s="3">
        <v>0</v>
      </c>
      <c r="D43" s="3">
        <v>2</v>
      </c>
      <c r="E43" s="3">
        <v>7</v>
      </c>
      <c r="F43" s="3">
        <v>4</v>
      </c>
      <c r="H43" s="3">
        <f t="shared" si="0"/>
        <v>0</v>
      </c>
      <c r="I43" s="3">
        <f t="shared" si="1"/>
        <v>0</v>
      </c>
      <c r="J43" s="8">
        <f t="shared" si="2"/>
        <v>0.0273972602739726</v>
      </c>
      <c r="K43" s="8">
        <f t="shared" si="3"/>
        <v>0.033175355450237</v>
      </c>
      <c r="L43" s="8">
        <f t="shared" si="4"/>
        <v>0.0540540540540541</v>
      </c>
    </row>
    <row r="44" ht="18.75" customHeight="1" spans="1:12">
      <c r="A44" s="1" t="s">
        <v>49</v>
      </c>
      <c r="B44" s="3">
        <v>0</v>
      </c>
      <c r="C44" s="3">
        <v>7</v>
      </c>
      <c r="D44" s="3">
        <v>11</v>
      </c>
      <c r="E44" s="3">
        <v>35</v>
      </c>
      <c r="F44" s="3">
        <v>11</v>
      </c>
      <c r="H44" s="3">
        <f t="shared" si="0"/>
        <v>0</v>
      </c>
      <c r="I44" s="8">
        <f t="shared" si="1"/>
        <v>0.132075471698113</v>
      </c>
      <c r="J44" s="8">
        <f t="shared" si="2"/>
        <v>0.150684931506849</v>
      </c>
      <c r="K44" s="8">
        <f t="shared" si="3"/>
        <v>0.165876777251185</v>
      </c>
      <c r="L44" s="8">
        <f t="shared" si="4"/>
        <v>0.148648648648649</v>
      </c>
    </row>
    <row r="45" ht="18.75" customHeight="1" spans="1:12">
      <c r="A45" s="1" t="s">
        <v>50</v>
      </c>
      <c r="B45" s="3">
        <v>0</v>
      </c>
      <c r="C45" s="3">
        <v>0</v>
      </c>
      <c r="D45" s="3">
        <v>0</v>
      </c>
      <c r="E45" s="3">
        <v>0</v>
      </c>
      <c r="F45" s="3">
        <v>1</v>
      </c>
      <c r="H45" s="3">
        <f t="shared" si="0"/>
        <v>0</v>
      </c>
      <c r="I45" s="3">
        <f t="shared" si="1"/>
        <v>0</v>
      </c>
      <c r="J45" s="3">
        <f t="shared" si="2"/>
        <v>0</v>
      </c>
      <c r="K45" s="3">
        <f t="shared" si="3"/>
        <v>0</v>
      </c>
      <c r="L45" s="8">
        <f t="shared" si="4"/>
        <v>0.0135135135135135</v>
      </c>
    </row>
    <row r="46" ht="18.75" customHeight="1" spans="1:12">
      <c r="A46" s="1" t="s">
        <v>51</v>
      </c>
      <c r="B46" s="3">
        <v>0</v>
      </c>
      <c r="C46" s="3">
        <v>0</v>
      </c>
      <c r="D46" s="3">
        <v>0</v>
      </c>
      <c r="E46" s="3">
        <v>8</v>
      </c>
      <c r="F46" s="3">
        <v>1</v>
      </c>
      <c r="H46" s="3">
        <f t="shared" si="0"/>
        <v>0</v>
      </c>
      <c r="I46" s="3">
        <f t="shared" si="1"/>
        <v>0</v>
      </c>
      <c r="J46" s="3">
        <f t="shared" si="2"/>
        <v>0</v>
      </c>
      <c r="K46" s="8">
        <f t="shared" si="3"/>
        <v>0.037914691943128</v>
      </c>
      <c r="L46" s="8">
        <f t="shared" si="4"/>
        <v>0.0135135135135135</v>
      </c>
    </row>
    <row r="47" ht="18.75" customHeight="1" spans="1:12">
      <c r="A47" s="1" t="s">
        <v>52</v>
      </c>
      <c r="B47" s="3">
        <v>0</v>
      </c>
      <c r="C47" s="3">
        <v>6</v>
      </c>
      <c r="D47" s="3">
        <v>7</v>
      </c>
      <c r="E47" s="3">
        <v>14</v>
      </c>
      <c r="F47" s="3">
        <v>3</v>
      </c>
      <c r="H47" s="3">
        <f t="shared" si="0"/>
        <v>0</v>
      </c>
      <c r="I47" s="8">
        <f t="shared" si="1"/>
        <v>0.113207547169811</v>
      </c>
      <c r="J47" s="8">
        <f t="shared" si="2"/>
        <v>0.0958904109589041</v>
      </c>
      <c r="K47" s="8">
        <f t="shared" si="3"/>
        <v>0.0663507109004739</v>
      </c>
      <c r="L47" s="8">
        <f t="shared" si="4"/>
        <v>0.0405405405405405</v>
      </c>
    </row>
    <row r="48" ht="18.75" customHeight="1" spans="1:12">
      <c r="A48" s="1" t="s">
        <v>53</v>
      </c>
      <c r="B48" s="3">
        <v>0</v>
      </c>
      <c r="C48" s="3">
        <v>0</v>
      </c>
      <c r="D48" s="3">
        <v>0</v>
      </c>
      <c r="E48" s="3">
        <v>1</v>
      </c>
      <c r="F48" s="3">
        <v>0</v>
      </c>
      <c r="H48" s="3">
        <f t="shared" si="0"/>
        <v>0</v>
      </c>
      <c r="I48" s="3">
        <f t="shared" si="1"/>
        <v>0</v>
      </c>
      <c r="J48" s="3">
        <f t="shared" si="2"/>
        <v>0</v>
      </c>
      <c r="K48" s="8">
        <f t="shared" si="3"/>
        <v>0.004739336492891</v>
      </c>
      <c r="L48" s="3">
        <f t="shared" si="4"/>
        <v>0</v>
      </c>
    </row>
    <row r="49" ht="18.75" customHeight="1" spans="1:12">
      <c r="A49" s="1" t="s">
        <v>54</v>
      </c>
      <c r="B49" s="3">
        <v>0</v>
      </c>
      <c r="C49" s="3">
        <v>1</v>
      </c>
      <c r="D49" s="3">
        <v>5</v>
      </c>
      <c r="E49" s="3">
        <v>6</v>
      </c>
      <c r="F49" s="3">
        <v>0</v>
      </c>
      <c r="H49" s="3">
        <f t="shared" si="0"/>
        <v>0</v>
      </c>
      <c r="I49" s="8">
        <f t="shared" si="1"/>
        <v>0.0188679245283019</v>
      </c>
      <c r="J49" s="8">
        <f t="shared" si="2"/>
        <v>0.0684931506849315</v>
      </c>
      <c r="K49" s="8">
        <f t="shared" si="3"/>
        <v>0.028436018957346</v>
      </c>
      <c r="L49" s="3">
        <f t="shared" si="4"/>
        <v>0</v>
      </c>
    </row>
    <row r="50" ht="18.75" customHeight="1" spans="1:12">
      <c r="A50" s="1" t="s">
        <v>55</v>
      </c>
      <c r="B50" s="3">
        <v>0</v>
      </c>
      <c r="C50" s="3">
        <v>0</v>
      </c>
      <c r="D50" s="3">
        <v>0</v>
      </c>
      <c r="E50" s="3">
        <v>0</v>
      </c>
      <c r="F50" s="3">
        <v>1</v>
      </c>
      <c r="H50" s="3">
        <f t="shared" si="0"/>
        <v>0</v>
      </c>
      <c r="I50" s="3">
        <f t="shared" si="1"/>
        <v>0</v>
      </c>
      <c r="J50" s="3">
        <f t="shared" si="2"/>
        <v>0</v>
      </c>
      <c r="K50" s="3">
        <f t="shared" si="3"/>
        <v>0</v>
      </c>
      <c r="L50" s="8">
        <f t="shared" si="4"/>
        <v>0.0135135135135135</v>
      </c>
    </row>
    <row r="51" ht="18.75" customHeight="1" spans="1:12">
      <c r="A51" s="1" t="s">
        <v>56</v>
      </c>
      <c r="B51" s="3">
        <v>0</v>
      </c>
      <c r="C51" s="3">
        <v>0</v>
      </c>
      <c r="D51" s="3">
        <v>1</v>
      </c>
      <c r="E51" s="3">
        <v>2</v>
      </c>
      <c r="F51" s="3">
        <v>0</v>
      </c>
      <c r="H51" s="3">
        <f t="shared" si="0"/>
        <v>0</v>
      </c>
      <c r="I51" s="3">
        <f t="shared" si="1"/>
        <v>0</v>
      </c>
      <c r="J51" s="8">
        <f t="shared" si="2"/>
        <v>0.0136986301369863</v>
      </c>
      <c r="K51" s="8">
        <f t="shared" si="3"/>
        <v>0.00947867298578199</v>
      </c>
      <c r="L51" s="3">
        <f t="shared" si="4"/>
        <v>0</v>
      </c>
    </row>
    <row r="52" ht="18.75" customHeight="1" spans="1:12">
      <c r="A52" s="1" t="s">
        <v>57</v>
      </c>
      <c r="B52" s="3">
        <v>0</v>
      </c>
      <c r="C52" s="3">
        <v>0</v>
      </c>
      <c r="D52" s="3">
        <v>0</v>
      </c>
      <c r="E52" s="3">
        <v>1</v>
      </c>
      <c r="F52" s="3">
        <v>0</v>
      </c>
      <c r="H52" s="3">
        <f t="shared" si="0"/>
        <v>0</v>
      </c>
      <c r="I52" s="3">
        <f t="shared" si="1"/>
        <v>0</v>
      </c>
      <c r="J52" s="3">
        <f t="shared" si="2"/>
        <v>0</v>
      </c>
      <c r="K52" s="8">
        <f t="shared" si="3"/>
        <v>0.004739336492891</v>
      </c>
      <c r="L52" s="3">
        <f t="shared" si="4"/>
        <v>0</v>
      </c>
    </row>
    <row r="53" ht="18.75" customHeight="1" spans="1:12">
      <c r="A53" s="1" t="s">
        <v>58</v>
      </c>
      <c r="B53" s="3">
        <v>0</v>
      </c>
      <c r="C53" s="3">
        <v>3</v>
      </c>
      <c r="D53" s="3">
        <v>2</v>
      </c>
      <c r="E53" s="3">
        <v>17</v>
      </c>
      <c r="F53" s="3">
        <v>5</v>
      </c>
      <c r="H53" s="3">
        <f t="shared" si="0"/>
        <v>0</v>
      </c>
      <c r="I53" s="8">
        <f t="shared" si="1"/>
        <v>0.0566037735849057</v>
      </c>
      <c r="J53" s="8">
        <f t="shared" si="2"/>
        <v>0.0273972602739726</v>
      </c>
      <c r="K53" s="8">
        <f t="shared" si="3"/>
        <v>0.0805687203791469</v>
      </c>
      <c r="L53" s="8">
        <f t="shared" si="4"/>
        <v>0.0675675675675676</v>
      </c>
    </row>
    <row r="54" ht="18.75" customHeight="1" spans="1:12">
      <c r="A54" s="1" t="s">
        <v>59</v>
      </c>
      <c r="B54" s="3">
        <v>0</v>
      </c>
      <c r="C54" s="3">
        <v>0</v>
      </c>
      <c r="D54" s="3">
        <v>0</v>
      </c>
      <c r="E54" s="3">
        <v>1</v>
      </c>
      <c r="F54" s="3">
        <v>1</v>
      </c>
      <c r="H54" s="3">
        <f t="shared" si="0"/>
        <v>0</v>
      </c>
      <c r="I54" s="3">
        <f t="shared" si="1"/>
        <v>0</v>
      </c>
      <c r="J54" s="3">
        <f t="shared" si="2"/>
        <v>0</v>
      </c>
      <c r="K54" s="8">
        <f t="shared" si="3"/>
        <v>0.004739336492891</v>
      </c>
      <c r="L54" s="8">
        <f t="shared" si="4"/>
        <v>0.0135135135135135</v>
      </c>
    </row>
    <row r="55" ht="18.75" customHeight="1" spans="1:12">
      <c r="A55" s="1" t="s">
        <v>60</v>
      </c>
      <c r="B55" s="3">
        <v>0</v>
      </c>
      <c r="C55" s="3">
        <v>0</v>
      </c>
      <c r="D55" s="3">
        <v>0</v>
      </c>
      <c r="E55" s="3">
        <v>1</v>
      </c>
      <c r="F55" s="3">
        <v>0</v>
      </c>
      <c r="H55" s="3">
        <f t="shared" si="0"/>
        <v>0</v>
      </c>
      <c r="I55" s="3">
        <f t="shared" si="1"/>
        <v>0</v>
      </c>
      <c r="J55" s="3">
        <f t="shared" si="2"/>
        <v>0</v>
      </c>
      <c r="K55" s="8">
        <f t="shared" si="3"/>
        <v>0.004739336492891</v>
      </c>
      <c r="L55" s="3">
        <f t="shared" si="4"/>
        <v>0</v>
      </c>
    </row>
    <row r="56" ht="18.75" customHeight="1" spans="1:12">
      <c r="A56" s="1" t="s">
        <v>61</v>
      </c>
      <c r="B56" s="3">
        <v>0</v>
      </c>
      <c r="C56" s="3">
        <v>0</v>
      </c>
      <c r="D56" s="3">
        <v>0</v>
      </c>
      <c r="E56" s="3">
        <v>1</v>
      </c>
      <c r="F56" s="3">
        <v>0</v>
      </c>
      <c r="H56" s="3">
        <f t="shared" si="0"/>
        <v>0</v>
      </c>
      <c r="I56" s="3">
        <f t="shared" si="1"/>
        <v>0</v>
      </c>
      <c r="J56" s="3">
        <f t="shared" si="2"/>
        <v>0</v>
      </c>
      <c r="K56" s="8">
        <f t="shared" si="3"/>
        <v>0.004739336492891</v>
      </c>
      <c r="L56" s="3">
        <f t="shared" si="4"/>
        <v>0</v>
      </c>
    </row>
    <row r="57" ht="18.75" customHeight="1" spans="1:12">
      <c r="A57" s="1" t="s">
        <v>62</v>
      </c>
      <c r="B57" s="3">
        <v>0</v>
      </c>
      <c r="C57" s="3">
        <v>0</v>
      </c>
      <c r="D57" s="3">
        <v>0</v>
      </c>
      <c r="E57" s="3">
        <v>1</v>
      </c>
      <c r="F57" s="3">
        <v>0</v>
      </c>
      <c r="H57" s="3">
        <f t="shared" si="0"/>
        <v>0</v>
      </c>
      <c r="I57" s="3">
        <f t="shared" si="1"/>
        <v>0</v>
      </c>
      <c r="J57" s="3">
        <f t="shared" si="2"/>
        <v>0</v>
      </c>
      <c r="K57" s="8">
        <f t="shared" si="3"/>
        <v>0.004739336492891</v>
      </c>
      <c r="L57" s="3">
        <f t="shared" si="4"/>
        <v>0</v>
      </c>
    </row>
    <row r="58" ht="18.75" customHeight="1" spans="1:12">
      <c r="A58" s="1" t="s">
        <v>63</v>
      </c>
      <c r="B58" s="3">
        <v>0</v>
      </c>
      <c r="C58" s="3">
        <v>1</v>
      </c>
      <c r="D58" s="3">
        <v>0</v>
      </c>
      <c r="E58" s="3">
        <v>0</v>
      </c>
      <c r="F58" s="3">
        <v>0</v>
      </c>
      <c r="H58" s="3">
        <f t="shared" si="0"/>
        <v>0</v>
      </c>
      <c r="I58" s="8">
        <f t="shared" si="1"/>
        <v>0.0188679245283019</v>
      </c>
      <c r="J58" s="3">
        <f t="shared" si="2"/>
        <v>0</v>
      </c>
      <c r="K58" s="3">
        <f t="shared" si="3"/>
        <v>0</v>
      </c>
      <c r="L58" s="3">
        <f t="shared" si="4"/>
        <v>0</v>
      </c>
    </row>
    <row r="59" ht="18.75" customHeight="1" spans="1:12">
      <c r="A59" s="1" t="s">
        <v>64</v>
      </c>
      <c r="B59" s="3">
        <v>0</v>
      </c>
      <c r="C59" s="3">
        <v>0</v>
      </c>
      <c r="D59" s="3">
        <v>0</v>
      </c>
      <c r="E59" s="3">
        <v>0</v>
      </c>
      <c r="F59" s="3">
        <v>1</v>
      </c>
      <c r="H59" s="3">
        <f t="shared" si="0"/>
        <v>0</v>
      </c>
      <c r="I59" s="3">
        <f t="shared" si="1"/>
        <v>0</v>
      </c>
      <c r="J59" s="3">
        <f t="shared" si="2"/>
        <v>0</v>
      </c>
      <c r="K59" s="3">
        <f t="shared" si="3"/>
        <v>0</v>
      </c>
      <c r="L59" s="8">
        <f t="shared" si="4"/>
        <v>0.0135135135135135</v>
      </c>
    </row>
    <row r="60" ht="18.75" customHeight="1" spans="1:12">
      <c r="A60" s="1" t="s">
        <v>65</v>
      </c>
      <c r="B60" s="3">
        <v>0</v>
      </c>
      <c r="C60" s="3">
        <v>0</v>
      </c>
      <c r="D60" s="3">
        <v>1</v>
      </c>
      <c r="E60" s="3">
        <v>1</v>
      </c>
      <c r="F60" s="3">
        <v>0</v>
      </c>
      <c r="H60" s="3">
        <f t="shared" si="0"/>
        <v>0</v>
      </c>
      <c r="I60" s="3">
        <f t="shared" si="1"/>
        <v>0</v>
      </c>
      <c r="J60" s="8">
        <f t="shared" si="2"/>
        <v>0.0136986301369863</v>
      </c>
      <c r="K60" s="8">
        <f t="shared" si="3"/>
        <v>0.004739336492891</v>
      </c>
      <c r="L60" s="3">
        <f t="shared" si="4"/>
        <v>0</v>
      </c>
    </row>
    <row r="61" ht="18.75" customHeight="1" spans="1:12">
      <c r="A61" s="1" t="s">
        <v>66</v>
      </c>
      <c r="B61" s="3">
        <v>0</v>
      </c>
      <c r="C61" s="3">
        <v>0</v>
      </c>
      <c r="D61" s="3">
        <v>1</v>
      </c>
      <c r="E61" s="3">
        <v>2</v>
      </c>
      <c r="F61" s="3">
        <v>0</v>
      </c>
      <c r="H61" s="3">
        <f t="shared" si="0"/>
        <v>0</v>
      </c>
      <c r="I61" s="3">
        <f t="shared" si="1"/>
        <v>0</v>
      </c>
      <c r="J61" s="8">
        <f t="shared" si="2"/>
        <v>0.0136986301369863</v>
      </c>
      <c r="K61" s="8">
        <f t="shared" si="3"/>
        <v>0.00947867298578199</v>
      </c>
      <c r="L61" s="3">
        <f t="shared" si="4"/>
        <v>0</v>
      </c>
    </row>
    <row r="62" ht="18.75" customHeight="1" spans="1:12">
      <c r="A62" s="1" t="s">
        <v>67</v>
      </c>
      <c r="B62" s="3">
        <v>1</v>
      </c>
      <c r="C62" s="3">
        <v>13</v>
      </c>
      <c r="D62" s="3">
        <v>11</v>
      </c>
      <c r="E62" s="3">
        <v>45</v>
      </c>
      <c r="F62" s="3">
        <v>14</v>
      </c>
      <c r="H62" s="8">
        <f t="shared" si="0"/>
        <v>0.166666666666667</v>
      </c>
      <c r="I62" s="8">
        <f t="shared" si="1"/>
        <v>0.245283018867925</v>
      </c>
      <c r="J62" s="8">
        <f t="shared" si="2"/>
        <v>0.150684931506849</v>
      </c>
      <c r="K62" s="8">
        <f t="shared" si="3"/>
        <v>0.213270142180095</v>
      </c>
      <c r="L62" s="8">
        <f t="shared" si="4"/>
        <v>0.189189189189189</v>
      </c>
    </row>
    <row r="63" ht="18.75" customHeight="1" spans="1:12">
      <c r="A63" s="1" t="s">
        <v>68</v>
      </c>
      <c r="B63" s="3">
        <v>0</v>
      </c>
      <c r="C63" s="3">
        <v>0</v>
      </c>
      <c r="D63" s="3">
        <v>0</v>
      </c>
      <c r="E63" s="3">
        <v>0</v>
      </c>
      <c r="F63" s="3">
        <v>1</v>
      </c>
      <c r="H63" s="3">
        <f t="shared" si="0"/>
        <v>0</v>
      </c>
      <c r="I63" s="3">
        <f t="shared" si="1"/>
        <v>0</v>
      </c>
      <c r="J63" s="3">
        <f t="shared" si="2"/>
        <v>0</v>
      </c>
      <c r="K63" s="3">
        <f t="shared" si="3"/>
        <v>0</v>
      </c>
      <c r="L63" s="8">
        <f t="shared" si="4"/>
        <v>0.0135135135135135</v>
      </c>
    </row>
    <row r="64" ht="18.75" customHeight="1" spans="1:12">
      <c r="A64" s="1" t="s">
        <v>69</v>
      </c>
      <c r="B64" s="3">
        <v>0</v>
      </c>
      <c r="C64" s="3">
        <v>1</v>
      </c>
      <c r="D64" s="3">
        <v>0</v>
      </c>
      <c r="E64" s="3">
        <v>0</v>
      </c>
      <c r="F64" s="3">
        <v>0</v>
      </c>
      <c r="H64" s="3">
        <f t="shared" si="0"/>
        <v>0</v>
      </c>
      <c r="I64" s="8">
        <f t="shared" si="1"/>
        <v>0.0188679245283019</v>
      </c>
      <c r="J64" s="3">
        <f t="shared" si="2"/>
        <v>0</v>
      </c>
      <c r="K64" s="3">
        <f t="shared" si="3"/>
        <v>0</v>
      </c>
      <c r="L64" s="3">
        <f t="shared" si="4"/>
        <v>0</v>
      </c>
    </row>
    <row r="65" ht="18.75" customHeight="1" spans="1:12">
      <c r="A65" s="1" t="s">
        <v>70</v>
      </c>
      <c r="B65" s="3">
        <v>2</v>
      </c>
      <c r="C65" s="3">
        <v>26</v>
      </c>
      <c r="D65" s="3">
        <v>41</v>
      </c>
      <c r="E65" s="3">
        <v>169</v>
      </c>
      <c r="F65" s="3">
        <v>60</v>
      </c>
      <c r="H65" s="8">
        <f t="shared" si="0"/>
        <v>0.333333333333333</v>
      </c>
      <c r="I65" s="8">
        <f t="shared" si="1"/>
        <v>0.490566037735849</v>
      </c>
      <c r="J65" s="8">
        <f t="shared" si="2"/>
        <v>0.561643835616438</v>
      </c>
      <c r="K65" s="8">
        <f t="shared" si="3"/>
        <v>0.800947867298578</v>
      </c>
      <c r="L65" s="8">
        <f t="shared" si="4"/>
        <v>0.810810810810811</v>
      </c>
    </row>
    <row r="66" ht="18.75" customHeight="1" spans="1:12">
      <c r="A66" s="1" t="s">
        <v>71</v>
      </c>
      <c r="B66" s="3">
        <v>0</v>
      </c>
      <c r="C66" s="3">
        <v>0</v>
      </c>
      <c r="D66" s="3">
        <v>0</v>
      </c>
      <c r="E66" s="3">
        <v>2</v>
      </c>
      <c r="F66" s="3">
        <v>0</v>
      </c>
      <c r="H66" s="3">
        <f t="shared" ref="H66:H91" si="5">B66/6</f>
        <v>0</v>
      </c>
      <c r="I66" s="3">
        <f t="shared" ref="I66:I91" si="6">C66/53</f>
        <v>0</v>
      </c>
      <c r="J66" s="3">
        <f t="shared" ref="J66:J91" si="7">D66/73</f>
        <v>0</v>
      </c>
      <c r="K66" s="8">
        <f t="shared" ref="K66:K91" si="8">E66/211</f>
        <v>0.00947867298578199</v>
      </c>
      <c r="L66" s="3">
        <f t="shared" ref="L66:L91" si="9">F66/74</f>
        <v>0</v>
      </c>
    </row>
    <row r="67" ht="18.75" customHeight="1" spans="1:12">
      <c r="A67" s="1" t="s">
        <v>72</v>
      </c>
      <c r="B67" s="3">
        <v>1</v>
      </c>
      <c r="C67" s="3">
        <v>11</v>
      </c>
      <c r="D67" s="3">
        <v>21</v>
      </c>
      <c r="E67" s="3">
        <v>73</v>
      </c>
      <c r="F67" s="3">
        <v>28</v>
      </c>
      <c r="H67" s="8">
        <f t="shared" si="5"/>
        <v>0.166666666666667</v>
      </c>
      <c r="I67" s="8">
        <f t="shared" si="6"/>
        <v>0.207547169811321</v>
      </c>
      <c r="J67" s="8">
        <f t="shared" si="7"/>
        <v>0.287671232876712</v>
      </c>
      <c r="K67" s="8">
        <f t="shared" si="8"/>
        <v>0.345971563981043</v>
      </c>
      <c r="L67" s="8">
        <f t="shared" si="9"/>
        <v>0.378378378378378</v>
      </c>
    </row>
    <row r="68" ht="18.75" customHeight="1" spans="1:12">
      <c r="A68" s="1" t="s">
        <v>73</v>
      </c>
      <c r="B68" s="3">
        <v>0</v>
      </c>
      <c r="C68" s="3">
        <v>0</v>
      </c>
      <c r="D68" s="3">
        <v>4</v>
      </c>
      <c r="E68" s="3">
        <v>16</v>
      </c>
      <c r="F68" s="3">
        <v>4</v>
      </c>
      <c r="H68" s="3">
        <f t="shared" si="5"/>
        <v>0</v>
      </c>
      <c r="I68" s="3">
        <f t="shared" si="6"/>
        <v>0</v>
      </c>
      <c r="J68" s="8">
        <f t="shared" si="7"/>
        <v>0.0547945205479452</v>
      </c>
      <c r="K68" s="8">
        <f t="shared" si="8"/>
        <v>0.0758293838862559</v>
      </c>
      <c r="L68" s="8">
        <f t="shared" si="9"/>
        <v>0.0540540540540541</v>
      </c>
    </row>
    <row r="69" ht="18.75" customHeight="1" spans="1:12">
      <c r="A69" s="1" t="s">
        <v>74</v>
      </c>
      <c r="B69" s="3">
        <v>0</v>
      </c>
      <c r="C69" s="3">
        <v>0</v>
      </c>
      <c r="D69" s="3">
        <v>0</v>
      </c>
      <c r="E69" s="3">
        <v>1</v>
      </c>
      <c r="F69" s="3">
        <v>0</v>
      </c>
      <c r="H69" s="3">
        <f t="shared" si="5"/>
        <v>0</v>
      </c>
      <c r="I69" s="3">
        <f t="shared" si="6"/>
        <v>0</v>
      </c>
      <c r="J69" s="3">
        <f t="shared" si="7"/>
        <v>0</v>
      </c>
      <c r="K69" s="8">
        <f t="shared" si="8"/>
        <v>0.004739336492891</v>
      </c>
      <c r="L69" s="3">
        <f t="shared" si="9"/>
        <v>0</v>
      </c>
    </row>
    <row r="70" ht="18.75" customHeight="1" spans="1:12">
      <c r="A70" s="1" t="s">
        <v>75</v>
      </c>
      <c r="B70" s="3">
        <v>2</v>
      </c>
      <c r="C70" s="3">
        <v>4</v>
      </c>
      <c r="D70" s="3">
        <v>12</v>
      </c>
      <c r="E70" s="3">
        <v>42</v>
      </c>
      <c r="F70" s="3">
        <v>19</v>
      </c>
      <c r="H70" s="8">
        <f t="shared" si="5"/>
        <v>0.333333333333333</v>
      </c>
      <c r="I70" s="8">
        <f t="shared" si="6"/>
        <v>0.0754716981132075</v>
      </c>
      <c r="J70" s="8">
        <f t="shared" si="7"/>
        <v>0.164383561643836</v>
      </c>
      <c r="K70" s="8">
        <f t="shared" si="8"/>
        <v>0.199052132701422</v>
      </c>
      <c r="L70" s="8">
        <f t="shared" si="9"/>
        <v>0.256756756756757</v>
      </c>
    </row>
    <row r="71" ht="18.75" customHeight="1" spans="1:12">
      <c r="A71" s="1" t="s">
        <v>76</v>
      </c>
      <c r="B71" s="3">
        <v>0</v>
      </c>
      <c r="C71" s="3">
        <v>1</v>
      </c>
      <c r="D71" s="3">
        <v>0</v>
      </c>
      <c r="E71" s="3">
        <v>7</v>
      </c>
      <c r="F71" s="3">
        <v>4</v>
      </c>
      <c r="H71" s="3">
        <f t="shared" si="5"/>
        <v>0</v>
      </c>
      <c r="I71" s="8">
        <f t="shared" si="6"/>
        <v>0.0188679245283019</v>
      </c>
      <c r="J71" s="3">
        <f t="shared" si="7"/>
        <v>0</v>
      </c>
      <c r="K71" s="8">
        <f t="shared" si="8"/>
        <v>0.033175355450237</v>
      </c>
      <c r="L71" s="8">
        <f t="shared" si="9"/>
        <v>0.0540540540540541</v>
      </c>
    </row>
    <row r="72" ht="18.75" customHeight="1" spans="1:12">
      <c r="A72" s="1" t="s">
        <v>77</v>
      </c>
      <c r="B72" s="3">
        <v>2</v>
      </c>
      <c r="C72" s="3">
        <v>8</v>
      </c>
      <c r="D72" s="3">
        <v>19</v>
      </c>
      <c r="E72" s="3">
        <v>74</v>
      </c>
      <c r="F72" s="3">
        <v>30</v>
      </c>
      <c r="H72" s="8">
        <f t="shared" si="5"/>
        <v>0.333333333333333</v>
      </c>
      <c r="I72" s="8">
        <f t="shared" si="6"/>
        <v>0.150943396226415</v>
      </c>
      <c r="J72" s="8">
        <f t="shared" si="7"/>
        <v>0.26027397260274</v>
      </c>
      <c r="K72" s="8">
        <f t="shared" si="8"/>
        <v>0.350710900473934</v>
      </c>
      <c r="L72" s="8">
        <f t="shared" si="9"/>
        <v>0.405405405405405</v>
      </c>
    </row>
    <row r="73" ht="18.75" customHeight="1" spans="1:12">
      <c r="A73" s="1" t="s">
        <v>78</v>
      </c>
      <c r="B73" s="3">
        <v>1</v>
      </c>
      <c r="C73" s="3">
        <v>5</v>
      </c>
      <c r="D73" s="3">
        <v>11</v>
      </c>
      <c r="E73" s="3">
        <v>39</v>
      </c>
      <c r="F73" s="3">
        <v>22</v>
      </c>
      <c r="H73" s="8">
        <f t="shared" si="5"/>
        <v>0.166666666666667</v>
      </c>
      <c r="I73" s="8">
        <f t="shared" si="6"/>
        <v>0.0943396226415094</v>
      </c>
      <c r="J73" s="8">
        <f t="shared" si="7"/>
        <v>0.150684931506849</v>
      </c>
      <c r="K73" s="8">
        <f t="shared" si="8"/>
        <v>0.184834123222749</v>
      </c>
      <c r="L73" s="8">
        <f t="shared" si="9"/>
        <v>0.297297297297297</v>
      </c>
    </row>
    <row r="74" ht="18.75" customHeight="1" spans="1:12">
      <c r="A74" s="1" t="s">
        <v>79</v>
      </c>
      <c r="B74" s="3">
        <v>0</v>
      </c>
      <c r="C74" s="3">
        <v>0</v>
      </c>
      <c r="D74" s="3">
        <v>0</v>
      </c>
      <c r="E74" s="3">
        <v>3</v>
      </c>
      <c r="F74" s="3">
        <v>0</v>
      </c>
      <c r="H74" s="3">
        <f t="shared" si="5"/>
        <v>0</v>
      </c>
      <c r="I74" s="3">
        <f t="shared" si="6"/>
        <v>0</v>
      </c>
      <c r="J74" s="3">
        <f t="shared" si="7"/>
        <v>0</v>
      </c>
      <c r="K74" s="8">
        <f t="shared" si="8"/>
        <v>0.014218009478673</v>
      </c>
      <c r="L74" s="3">
        <f t="shared" si="9"/>
        <v>0</v>
      </c>
    </row>
    <row r="75" ht="18.75" customHeight="1" spans="1:12">
      <c r="A75" s="1" t="s">
        <v>80</v>
      </c>
      <c r="B75" s="3">
        <v>0</v>
      </c>
      <c r="C75" s="3">
        <v>0</v>
      </c>
      <c r="D75" s="3">
        <v>1</v>
      </c>
      <c r="E75" s="3">
        <v>0</v>
      </c>
      <c r="F75" s="3">
        <v>0</v>
      </c>
      <c r="H75" s="3">
        <f t="shared" si="5"/>
        <v>0</v>
      </c>
      <c r="I75" s="3">
        <f t="shared" si="6"/>
        <v>0</v>
      </c>
      <c r="J75" s="8">
        <f t="shared" si="7"/>
        <v>0.0136986301369863</v>
      </c>
      <c r="K75" s="3">
        <f t="shared" si="8"/>
        <v>0</v>
      </c>
      <c r="L75" s="3">
        <f t="shared" si="9"/>
        <v>0</v>
      </c>
    </row>
    <row r="76" ht="18.75" customHeight="1" spans="1:12">
      <c r="A76" s="1" t="s">
        <v>81</v>
      </c>
      <c r="B76" s="3">
        <v>0</v>
      </c>
      <c r="C76" s="3">
        <v>0</v>
      </c>
      <c r="D76" s="3">
        <v>0</v>
      </c>
      <c r="E76" s="3">
        <v>1</v>
      </c>
      <c r="F76" s="3">
        <v>0</v>
      </c>
      <c r="H76" s="3">
        <f t="shared" si="5"/>
        <v>0</v>
      </c>
      <c r="I76" s="3">
        <f t="shared" si="6"/>
        <v>0</v>
      </c>
      <c r="J76" s="3">
        <f t="shared" si="7"/>
        <v>0</v>
      </c>
      <c r="K76" s="8">
        <f t="shared" si="8"/>
        <v>0.004739336492891</v>
      </c>
      <c r="L76" s="3">
        <f t="shared" si="9"/>
        <v>0</v>
      </c>
    </row>
    <row r="77" ht="18.75" customHeight="1" spans="1:12">
      <c r="A77" s="1" t="s">
        <v>82</v>
      </c>
      <c r="B77" s="3">
        <v>2</v>
      </c>
      <c r="C77" s="3">
        <v>16</v>
      </c>
      <c r="D77" s="3">
        <v>39</v>
      </c>
      <c r="E77" s="3">
        <v>103</v>
      </c>
      <c r="F77" s="3">
        <v>33</v>
      </c>
      <c r="H77" s="8">
        <f t="shared" si="5"/>
        <v>0.333333333333333</v>
      </c>
      <c r="I77" s="8">
        <f t="shared" si="6"/>
        <v>0.30188679245283</v>
      </c>
      <c r="J77" s="8">
        <f t="shared" si="7"/>
        <v>0.534246575342466</v>
      </c>
      <c r="K77" s="8">
        <f t="shared" si="8"/>
        <v>0.488151658767773</v>
      </c>
      <c r="L77" s="8">
        <f t="shared" si="9"/>
        <v>0.445945945945946</v>
      </c>
    </row>
    <row r="78" ht="18.75" customHeight="1" spans="1:12">
      <c r="A78" s="1" t="s">
        <v>83</v>
      </c>
      <c r="B78" s="3">
        <v>0</v>
      </c>
      <c r="C78" s="3">
        <v>0</v>
      </c>
      <c r="D78" s="3">
        <v>0</v>
      </c>
      <c r="E78" s="3">
        <v>1</v>
      </c>
      <c r="F78" s="3">
        <v>0</v>
      </c>
      <c r="H78" s="3">
        <f t="shared" si="5"/>
        <v>0</v>
      </c>
      <c r="I78" s="3">
        <f t="shared" si="6"/>
        <v>0</v>
      </c>
      <c r="J78" s="3">
        <f t="shared" si="7"/>
        <v>0</v>
      </c>
      <c r="K78" s="8">
        <f t="shared" si="8"/>
        <v>0.004739336492891</v>
      </c>
      <c r="L78" s="3">
        <f t="shared" si="9"/>
        <v>0</v>
      </c>
    </row>
    <row r="79" ht="18.75" customHeight="1" spans="1:12">
      <c r="A79" s="1" t="s">
        <v>84</v>
      </c>
      <c r="B79" s="3">
        <v>1</v>
      </c>
      <c r="C79" s="3">
        <v>1</v>
      </c>
      <c r="D79" s="3">
        <v>1</v>
      </c>
      <c r="E79" s="3">
        <v>1</v>
      </c>
      <c r="F79" s="3">
        <v>0</v>
      </c>
      <c r="H79" s="8">
        <f t="shared" si="5"/>
        <v>0.166666666666667</v>
      </c>
      <c r="I79" s="8">
        <f t="shared" si="6"/>
        <v>0.0188679245283019</v>
      </c>
      <c r="J79" s="8">
        <f t="shared" si="7"/>
        <v>0.0136986301369863</v>
      </c>
      <c r="K79" s="8">
        <f t="shared" si="8"/>
        <v>0.004739336492891</v>
      </c>
      <c r="L79" s="3">
        <f t="shared" si="9"/>
        <v>0</v>
      </c>
    </row>
    <row r="80" ht="18.75" customHeight="1" spans="1:12">
      <c r="A80" s="1" t="s">
        <v>85</v>
      </c>
      <c r="B80" s="3">
        <v>0</v>
      </c>
      <c r="C80" s="3">
        <v>0</v>
      </c>
      <c r="D80" s="3">
        <v>0</v>
      </c>
      <c r="E80" s="3">
        <v>1</v>
      </c>
      <c r="F80" s="3">
        <v>0</v>
      </c>
      <c r="H80" s="3">
        <f t="shared" si="5"/>
        <v>0</v>
      </c>
      <c r="I80" s="3">
        <f t="shared" si="6"/>
        <v>0</v>
      </c>
      <c r="J80" s="3">
        <f t="shared" si="7"/>
        <v>0</v>
      </c>
      <c r="K80" s="8">
        <f t="shared" si="8"/>
        <v>0.004739336492891</v>
      </c>
      <c r="L80" s="3">
        <f t="shared" si="9"/>
        <v>0</v>
      </c>
    </row>
    <row r="81" ht="18.75" customHeight="1" spans="1:12">
      <c r="A81" s="1" t="s">
        <v>86</v>
      </c>
      <c r="B81" s="3">
        <v>0</v>
      </c>
      <c r="C81" s="3">
        <v>0</v>
      </c>
      <c r="D81" s="3">
        <v>0</v>
      </c>
      <c r="E81" s="3">
        <v>6</v>
      </c>
      <c r="F81" s="3">
        <v>6</v>
      </c>
      <c r="H81" s="3">
        <f t="shared" si="5"/>
        <v>0</v>
      </c>
      <c r="I81" s="3">
        <f t="shared" si="6"/>
        <v>0</v>
      </c>
      <c r="J81" s="3">
        <f t="shared" si="7"/>
        <v>0</v>
      </c>
      <c r="K81" s="8">
        <f t="shared" si="8"/>
        <v>0.028436018957346</v>
      </c>
      <c r="L81" s="8">
        <f t="shared" si="9"/>
        <v>0.0810810810810811</v>
      </c>
    </row>
    <row r="82" ht="18.75" customHeight="1" spans="1:12">
      <c r="A82" s="1" t="s">
        <v>87</v>
      </c>
      <c r="B82" s="3">
        <v>0</v>
      </c>
      <c r="C82" s="3">
        <v>0</v>
      </c>
      <c r="D82" s="3">
        <v>1</v>
      </c>
      <c r="E82" s="3">
        <v>1</v>
      </c>
      <c r="F82" s="3">
        <v>1</v>
      </c>
      <c r="H82" s="3">
        <f t="shared" si="5"/>
        <v>0</v>
      </c>
      <c r="I82" s="3">
        <f t="shared" si="6"/>
        <v>0</v>
      </c>
      <c r="J82" s="8">
        <f t="shared" si="7"/>
        <v>0.0136986301369863</v>
      </c>
      <c r="K82" s="8">
        <f t="shared" si="8"/>
        <v>0.004739336492891</v>
      </c>
      <c r="L82" s="8">
        <f t="shared" si="9"/>
        <v>0.0135135135135135</v>
      </c>
    </row>
    <row r="83" ht="18.75" customHeight="1" spans="1:12">
      <c r="A83" s="1" t="s">
        <v>88</v>
      </c>
      <c r="B83" s="3">
        <v>0</v>
      </c>
      <c r="C83" s="3">
        <v>0</v>
      </c>
      <c r="D83" s="3">
        <v>0</v>
      </c>
      <c r="E83" s="3">
        <v>4</v>
      </c>
      <c r="F83" s="3">
        <v>1</v>
      </c>
      <c r="H83" s="3">
        <f t="shared" si="5"/>
        <v>0</v>
      </c>
      <c r="I83" s="3">
        <f t="shared" si="6"/>
        <v>0</v>
      </c>
      <c r="J83" s="3">
        <f t="shared" si="7"/>
        <v>0</v>
      </c>
      <c r="K83" s="8">
        <f t="shared" si="8"/>
        <v>0.018957345971564</v>
      </c>
      <c r="L83" s="8">
        <f t="shared" si="9"/>
        <v>0.0135135135135135</v>
      </c>
    </row>
    <row r="84" ht="18.75" customHeight="1" spans="1:12">
      <c r="A84" s="1" t="s">
        <v>89</v>
      </c>
      <c r="B84" s="3">
        <v>0</v>
      </c>
      <c r="C84" s="3">
        <v>0</v>
      </c>
      <c r="D84" s="3">
        <v>0</v>
      </c>
      <c r="E84" s="3">
        <v>1</v>
      </c>
      <c r="F84" s="3">
        <v>0</v>
      </c>
      <c r="H84" s="3">
        <f t="shared" si="5"/>
        <v>0</v>
      </c>
      <c r="I84" s="3">
        <f t="shared" si="6"/>
        <v>0</v>
      </c>
      <c r="J84" s="3">
        <f t="shared" si="7"/>
        <v>0</v>
      </c>
      <c r="K84" s="8">
        <f t="shared" si="8"/>
        <v>0.004739336492891</v>
      </c>
      <c r="L84" s="3">
        <f t="shared" si="9"/>
        <v>0</v>
      </c>
    </row>
    <row r="85" ht="18.75" customHeight="1" spans="1:12">
      <c r="A85" s="1" t="s">
        <v>90</v>
      </c>
      <c r="B85" s="3">
        <v>4</v>
      </c>
      <c r="C85" s="3">
        <v>21</v>
      </c>
      <c r="D85" s="3">
        <v>40</v>
      </c>
      <c r="E85" s="3">
        <v>142</v>
      </c>
      <c r="F85" s="3">
        <v>53</v>
      </c>
      <c r="H85" s="8">
        <f t="shared" si="5"/>
        <v>0.666666666666667</v>
      </c>
      <c r="I85" s="8">
        <f t="shared" si="6"/>
        <v>0.39622641509434</v>
      </c>
      <c r="J85" s="8">
        <f t="shared" si="7"/>
        <v>0.547945205479452</v>
      </c>
      <c r="K85" s="8">
        <f t="shared" si="8"/>
        <v>0.672985781990521</v>
      </c>
      <c r="L85" s="8">
        <f t="shared" si="9"/>
        <v>0.716216216216216</v>
      </c>
    </row>
    <row r="86" ht="18.75" customHeight="1" spans="1:12">
      <c r="A86" s="1" t="s">
        <v>91</v>
      </c>
      <c r="B86" s="3">
        <v>0</v>
      </c>
      <c r="C86" s="3">
        <v>0</v>
      </c>
      <c r="D86" s="3">
        <v>0</v>
      </c>
      <c r="E86" s="3">
        <v>1</v>
      </c>
      <c r="F86" s="3">
        <v>0</v>
      </c>
      <c r="H86" s="3">
        <f t="shared" si="5"/>
        <v>0</v>
      </c>
      <c r="I86" s="3">
        <f t="shared" si="6"/>
        <v>0</v>
      </c>
      <c r="J86" s="3">
        <f t="shared" si="7"/>
        <v>0</v>
      </c>
      <c r="K86" s="8">
        <f t="shared" si="8"/>
        <v>0.004739336492891</v>
      </c>
      <c r="L86" s="3">
        <f t="shared" si="9"/>
        <v>0</v>
      </c>
    </row>
    <row r="87" ht="18.75" customHeight="1" spans="1:12">
      <c r="A87" s="1" t="s">
        <v>92</v>
      </c>
      <c r="B87" s="3">
        <v>0</v>
      </c>
      <c r="C87" s="3">
        <v>0</v>
      </c>
      <c r="D87" s="3">
        <v>1</v>
      </c>
      <c r="E87" s="3">
        <v>0</v>
      </c>
      <c r="F87" s="3">
        <v>0</v>
      </c>
      <c r="H87" s="3">
        <f t="shared" si="5"/>
        <v>0</v>
      </c>
      <c r="I87" s="3">
        <f t="shared" si="6"/>
        <v>0</v>
      </c>
      <c r="J87" s="8">
        <f t="shared" si="7"/>
        <v>0.0136986301369863</v>
      </c>
      <c r="K87" s="3">
        <f t="shared" si="8"/>
        <v>0</v>
      </c>
      <c r="L87" s="3">
        <f t="shared" si="9"/>
        <v>0</v>
      </c>
    </row>
    <row r="88" ht="18.75" customHeight="1" spans="1:12">
      <c r="A88" s="1" t="s">
        <v>93</v>
      </c>
      <c r="B88" s="3">
        <v>0</v>
      </c>
      <c r="C88" s="3">
        <v>1</v>
      </c>
      <c r="D88" s="3">
        <v>0</v>
      </c>
      <c r="E88" s="3">
        <v>3</v>
      </c>
      <c r="F88" s="3">
        <v>1</v>
      </c>
      <c r="H88" s="3">
        <f t="shared" si="5"/>
        <v>0</v>
      </c>
      <c r="I88" s="8">
        <f t="shared" si="6"/>
        <v>0.0188679245283019</v>
      </c>
      <c r="J88" s="3">
        <f t="shared" si="7"/>
        <v>0</v>
      </c>
      <c r="K88" s="8">
        <f t="shared" si="8"/>
        <v>0.014218009478673</v>
      </c>
      <c r="L88" s="8">
        <f t="shared" si="9"/>
        <v>0.0135135135135135</v>
      </c>
    </row>
    <row r="89" ht="18.75" customHeight="1" spans="1:12">
      <c r="A89" s="1" t="s">
        <v>94</v>
      </c>
      <c r="B89" s="3">
        <v>0</v>
      </c>
      <c r="C89" s="3">
        <v>0</v>
      </c>
      <c r="D89" s="3">
        <v>0</v>
      </c>
      <c r="E89" s="3">
        <v>7</v>
      </c>
      <c r="F89" s="3">
        <v>1</v>
      </c>
      <c r="H89" s="3">
        <f t="shared" si="5"/>
        <v>0</v>
      </c>
      <c r="I89" s="3">
        <f t="shared" si="6"/>
        <v>0</v>
      </c>
      <c r="J89" s="3">
        <f t="shared" si="7"/>
        <v>0</v>
      </c>
      <c r="K89" s="8">
        <f t="shared" si="8"/>
        <v>0.033175355450237</v>
      </c>
      <c r="L89" s="8">
        <f t="shared" si="9"/>
        <v>0.0135135135135135</v>
      </c>
    </row>
    <row r="90" ht="18.75" customHeight="1" spans="1:12">
      <c r="A90" s="1" t="s">
        <v>95</v>
      </c>
      <c r="B90" s="3">
        <v>0</v>
      </c>
      <c r="C90" s="3">
        <v>0</v>
      </c>
      <c r="D90" s="3">
        <v>0</v>
      </c>
      <c r="E90" s="3">
        <v>0</v>
      </c>
      <c r="F90" s="3">
        <v>1</v>
      </c>
      <c r="H90" s="3">
        <f t="shared" si="5"/>
        <v>0</v>
      </c>
      <c r="I90" s="3">
        <f t="shared" si="6"/>
        <v>0</v>
      </c>
      <c r="J90" s="3">
        <f t="shared" si="7"/>
        <v>0</v>
      </c>
      <c r="K90" s="3">
        <f t="shared" si="8"/>
        <v>0</v>
      </c>
      <c r="L90" s="8">
        <f t="shared" si="9"/>
        <v>0.0135135135135135</v>
      </c>
    </row>
    <row r="91" ht="18.75" customHeight="1" spans="1:12">
      <c r="A91" s="1" t="s">
        <v>96</v>
      </c>
      <c r="B91" s="3">
        <v>0</v>
      </c>
      <c r="C91" s="3">
        <v>0</v>
      </c>
      <c r="D91" s="3">
        <v>0</v>
      </c>
      <c r="E91" s="3">
        <v>3</v>
      </c>
      <c r="F91" s="3">
        <v>0</v>
      </c>
      <c r="H91" s="3">
        <f t="shared" si="5"/>
        <v>0</v>
      </c>
      <c r="I91" s="3">
        <f t="shared" si="6"/>
        <v>0</v>
      </c>
      <c r="J91" s="3">
        <f t="shared" si="7"/>
        <v>0</v>
      </c>
      <c r="K91" s="8">
        <f t="shared" si="8"/>
        <v>0.014218009478673</v>
      </c>
      <c r="L91" s="3">
        <f t="shared" si="9"/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6"/>
  <sheetViews>
    <sheetView workbookViewId="0">
      <selection activeCell="A1" sqref="A1"/>
    </sheetView>
  </sheetViews>
  <sheetFormatPr defaultColWidth="9" defaultRowHeight="16.8" outlineLevelRow="5" outlineLevelCol="1"/>
  <cols>
    <col min="1" max="1" width="13.578125" style="1" customWidth="1"/>
    <col min="2" max="2" width="13.578125" style="2" customWidth="1"/>
  </cols>
  <sheetData>
    <row r="1" ht="18.75" customHeight="1" spans="1:2">
      <c r="A1" s="1" t="s">
        <v>97</v>
      </c>
      <c r="B1" s="2" t="s">
        <v>98</v>
      </c>
    </row>
    <row r="2" ht="18.75" customHeight="1" spans="1:2">
      <c r="A2" s="1" t="s">
        <v>1</v>
      </c>
      <c r="B2" s="3">
        <v>6</v>
      </c>
    </row>
    <row r="3" ht="18.75" customHeight="1" spans="1:2">
      <c r="A3" s="1" t="s">
        <v>2</v>
      </c>
      <c r="B3" s="3">
        <v>53</v>
      </c>
    </row>
    <row r="4" ht="18.75" customHeight="1" spans="1:2">
      <c r="A4" s="1" t="s">
        <v>3</v>
      </c>
      <c r="B4" s="3">
        <v>73</v>
      </c>
    </row>
    <row r="5" ht="18.75" customHeight="1" spans="1:2">
      <c r="A5" s="1" t="s">
        <v>4</v>
      </c>
      <c r="B5" s="3">
        <v>211</v>
      </c>
    </row>
    <row r="6" ht="18.75" customHeight="1" spans="1:2">
      <c r="A6" s="1" t="s">
        <v>5</v>
      </c>
      <c r="B6" s="3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1w</cp:lastModifiedBy>
  <dcterms:created xsi:type="dcterms:W3CDTF">2026-03-30T14:29:00Z</dcterms:created>
  <dcterms:modified xsi:type="dcterms:W3CDTF">2026-03-30T14:29:07Z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D88AA184181C5200E3D1C969E4735B63_42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